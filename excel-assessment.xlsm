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Intern Hiring Assignment\Data Sets\"/>
    </mc:Choice>
  </mc:AlternateContent>
  <xr:revisionPtr revIDLastSave="0" documentId="13_ncr:1_{60AA52C4-F2ED-470A-8EB3-80D1604554C1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5" i="20" l="1"/>
  <c r="C26" i="20"/>
  <c r="C24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B6" i="18"/>
  <c r="C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<sst xmlns="http://schemas.openxmlformats.org/spreadsheetml/2006/main" count="406" uniqueCount="183">
  <si>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</si>
  <si>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</si>
  <si>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</si>
  <si>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</si>
  <si>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</si>
  <si>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</si>
  <si>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</si>
  <si>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</si>
  <si>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</si>
  <si>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</si>
  <si>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</si>
  <si>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</si>
  <si>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</si>
  <si>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</si>
  <si>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</si>
  <si>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</si>
  <si>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</si>
  <si>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</si>
  <si>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</si>
  <si>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</si>
  <si>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</si>
  <si>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</si>
  <si>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</si>
  <si>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</si>
  <si>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</si>
  <si>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</si>
  <si>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</si>
  <si>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</si>
  <si>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</si>
  <si>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</si>
  <si>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</si>
  <si>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</si>
  <si>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</si>
  <si>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</si>
  <si>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</si>
  <si>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</si>
  <si>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</si>
  <si>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</si>
  <si>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</si>
  <si>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</si>
  <si>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</si>
  <si>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</si>
  <si>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</si>
  <si>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</si>
  <si>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</si>
  <si>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</si>
  <si>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</si>
  <si>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</si>
  <si>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</si>
  <si>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</si>
  <si>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</si>
  <si>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</si>
  <si>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</si>
  <si>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</si>
  <si>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</si>
  <si>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</si>
  <si>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</si>
  <si>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</si>
  <si>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</si>
  <si>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</si>
  <si>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</si>
  <si>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</si>
  <si>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</si>
  <si>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</si>
  <si>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</si>
  <si>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</si>
  <si>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</si>
  <si>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</si>
  <si>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</si>
  <si>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</si>
  <si>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</si>
  <si>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</si>
  <si>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</si>
  <si>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</si>
  <si>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</si>
  <si>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</si>
  <si>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</si>
  <si>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</si>
  <si>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</si>
  <si>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</si>
  <si>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</si>
  <si>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</si>
  <si>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</si>
  <si>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</si>
  <si>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</si>
  <si>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</si>
  <si>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</si>
  <si>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</si>
  <si>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</si>
  <si>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</si>
  <si>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</si>
  <si>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</si>
  <si>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</si>
  <si>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</si>
  <si>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</si>
  <si>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</si>
  <si>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</si>
  <si>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</si>
  <si>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</si>
  <si>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</si>
  <si>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</si>
  <si>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</si>
  <si>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</si>
  <si>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</si>
  <si>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</si>
  <si>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</si>
  <si>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</si>
  <si>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</si>
  <si>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</si>
  <si>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</si>
  <si>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</si>
  <si>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</si>
  <si>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20000-Monday-0-Sunday-24</t>
  </si>
  <si>
    <t>20002-Monday-0-Sunday-24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</si>
  <si>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</si>
  <si>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</si>
  <si>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</si>
  <si>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</si>
  <si>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</si>
  <si>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</si>
  <si>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</si>
  <si>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</si>
  <si>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</si>
  <si>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</si>
  <si>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</si>
  <si>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</si>
  <si>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</si>
  <si>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</si>
  <si>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</si>
  <si>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</si>
  <si>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</si>
  <si>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</si>
  <si>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</si>
  <si>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</si>
  <si>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</si>
  <si>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</si>
  <si>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</si>
  <si>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</si>
  <si>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</si>
  <si>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</si>
  <si>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SUM(H10:H29,H31,H33:H40)</t>
  </si>
  <si>
    <t>20002-Monday-0-Sunday-25</t>
  </si>
  <si>
    <t>20002-Monday-0-Sunday-26</t>
  </si>
  <si>
    <t>20002-Monday-0-Sunday-27</t>
  </si>
  <si>
    <t>20002-Monday-0-Sunday-28</t>
  </si>
  <si>
    <t>20002-Monday-0-Sunday-29</t>
  </si>
  <si>
    <t>20002-Monday-0-Sunday-30</t>
  </si>
  <si>
    <t>20002-Monday-0-Sunday-31</t>
  </si>
  <si>
    <t>20002-Monday-0-Sunday-32</t>
  </si>
  <si>
    <t>20002-Monday-0-Sunday-33</t>
  </si>
  <si>
    <t>20002-Monday-0-Sunday-34</t>
  </si>
  <si>
    <t>20002-Monday-0-Sunday-35</t>
  </si>
  <si>
    <t>20002-Monday-0-Sunday-36</t>
  </si>
  <si>
    <t>20002-Monday-0-Sunday-37</t>
  </si>
  <si>
    <t>20002-Monday-0-Sunday-38</t>
  </si>
  <si>
    <t>20002-Monday-0-Sunday-39</t>
  </si>
  <si>
    <t>20002-Monday-0-Sunday-40</t>
  </si>
  <si>
    <t>20002-Monday-0-Sunday-41</t>
  </si>
  <si>
    <t>20002-Monday-0-Sunday-42</t>
  </si>
  <si>
    <t>20002-Monday-0-Sunday-43</t>
  </si>
  <si>
    <t>20002-Monday-0-Sunday-44</t>
  </si>
  <si>
    <t>20002-Monday-0-Sunday-45</t>
  </si>
  <si>
    <t>20002-Monday-0-Sunday-46</t>
  </si>
  <si>
    <t>20002-Monday-0-Sunday-47</t>
  </si>
  <si>
    <t>20002-Monday-0-Sunday-48</t>
  </si>
  <si>
    <t>20002-Monday-0-Sunday-49</t>
  </si>
  <si>
    <t>20002-Monday-0-Sunday-50</t>
  </si>
  <si>
    <t>20002-Monday-0-Sunday-51</t>
  </si>
  <si>
    <t>20002-Monday-0-Sunday-52</t>
  </si>
  <si>
    <t>20002-Monday-0-Sunday-53</t>
  </si>
  <si>
    <t>20002-Monday-0-Sunday-54</t>
  </si>
  <si>
    <t>20002-Monday-0-Sunday-55</t>
  </si>
  <si>
    <t>20002-Monday-0-Sunday-56</t>
  </si>
  <si>
    <t>20002-Monday-0-Sunday-57</t>
  </si>
  <si>
    <t>20002-Monday-0-Sunday-58</t>
  </si>
  <si>
    <t>20002-Monday-0-Sunday-59</t>
  </si>
  <si>
    <t>20002-Monday-0-Sunday-60</t>
  </si>
  <si>
    <t>20002-Monday-0-Sunday-61</t>
  </si>
  <si>
    <t>I have used Delimiters which is an inbuilt function of excel.</t>
  </si>
  <si>
    <t>The Delimiter function can be found inside the 'Data' tab in the excel ribbion where there is a function called "Text to Columns".Then you select which type of delimiter you want the data to be sepearted from in my case I went with " - " this symbol and Selected the destination.</t>
  </si>
  <si>
    <t>I have simply used Find and Replace option and then used 'Sum' formula on Sales Table.</t>
  </si>
  <si>
    <t>I Have used excel inbuilt function find and replace which is on Home ribbion. Once you click it you simply find what you want to replace in my case I selected the NA word and ticked the box with exact match in cell which resulted in replacing just the values in the cell NA with 20. If I would have not ticked that box the NA in the question would have been changed to 20 as well.</t>
  </si>
  <si>
    <t>I have tried but due to time constrait I was not able to complete this task.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</si>
</sst>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4" fillId="6" borderId="0" xfId="0" applyFont="1" applyFill="1" applyAlignment="1">
      <alignment horizontal="center"/>
    </xf>
    <xf numFmtId="166" fontId="7" fillId="0" borderId="0" xfId="0" applyNumberFormat="1" applyFont="1"/>
    <xf numFmtId="166" fontId="3" fillId="0" borderId="0" xfId="0" applyNumberFormat="1" applyFont="1"/>
    <xf numFmtId="0" fontId="15" fillId="0" borderId="0" xfId="0" applyFont="1"/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center" wrapText="1"/>
    </xf>
    <xf numFmtId="0" fontId="8" fillId="0" borderId="0" xfId="0" applyFont="1" applyAlignment="1"/>
    <xf numFmtId="0" fontId="15" fillId="0" borderId="2" xfId="0" applyFont="1" applyBorder="1" applyAlignment="1"/>
    <xf numFmtId="0" fontId="15" fillId="0" borderId="0" xfId="0" applyFont="1" applyBorder="1" applyAlignment="1"/>
    <xf numFmtId="0" fontId="18" fillId="0" borderId="0" xfId="0" applyFont="1"/>
    <xf numFmtId="0" fontId="9" fillId="0" borderId="12" xfId="0" applyFont="1" applyBorder="1"/>
    <xf numFmtId="0" fontId="8" fillId="0" borderId="12" xfId="0" applyFont="1" applyBorder="1"/>
    <xf numFmtId="0" fontId="12" fillId="0" borderId="0" xfId="0" applyNumberFormat="1" applyFont="1" applyFill="1" applyBorder="1" applyAlignment="1" applyProtection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9"/>
        </patternFill>
      </fill>
    </dxf>
    <dxf>
      <fill>
        <patternFill>
          <bgColor rgb="FFFF0000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67AC76-02F1-47F3-A520-453E1FF145AA}" name="Table1" displayName="Table1" ref="A10:J19" headerRowCount="0" totalsRowShown="0" headerRowDxfId="21" dataDxfId="22" tableBorderDxfId="33">
  <tableColumns count="10">
    <tableColumn id="1" xr3:uid="{491F59DE-5F1F-4634-BD8E-D146ADD61A5E}" name="Column10" headerRowDxfId="11" dataDxfId="32"/>
    <tableColumn id="2" xr3:uid="{FB6537C9-E10B-400A-B596-1DB78897D4A6}" name="Column1" headerRowDxfId="12" dataDxfId="31"/>
    <tableColumn id="3" xr3:uid="{E68C1E39-837B-4662-A749-8ABE12411EE2}" name="Column2" headerRowDxfId="13" dataDxfId="30"/>
    <tableColumn id="4" xr3:uid="{ECA41F21-FBB0-4FDB-BCDD-B0C95E55CB77}" name="Column3" headerRowDxfId="14" dataDxfId="29"/>
    <tableColumn id="5" xr3:uid="{5AFD3F37-7F1E-4DEB-AD7B-A2329CA7E5BB}" name="Column4" headerRowDxfId="15" dataDxfId="28"/>
    <tableColumn id="6" xr3:uid="{E719961B-2E7E-45CE-8643-9A4559595E5F}" name="Column5" headerRowDxfId="16" dataDxfId="27"/>
    <tableColumn id="7" xr3:uid="{3A32A1FB-C1B6-41B0-8E4A-8BD29BB5FEDC}" name="Column6" headerRowDxfId="17" dataDxfId="26"/>
    <tableColumn id="8" xr3:uid="{1F755014-6F44-4895-9D96-A996C111826F}" name="Column7" headerRowDxfId="18" dataDxfId="25"/>
    <tableColumn id="9" xr3:uid="{8BB4A8E2-8CB8-4D41-B381-22142A9BBA31}" name="Column8" headerRowDxfId="19" dataDxfId="24"/>
    <tableColumn id="10" xr3:uid="{1E2EB734-4E7E-41E2-A0DC-49B122221CE0}" name="Column9" headerRowDxfId="20" dataDxfId="2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416450-80F8-4C44-9657-15C6D5B03AE3}" name="Table3" displayName="Table3" ref="M9:N19" headerRowCount="0" totalsRowShown="0" dataDxfId="2" tableBorderDxfId="5">
  <tableColumns count="2">
    <tableColumn id="1" xr3:uid="{5CF20AF2-7816-4659-A9C2-542072F9D274}" name="Column1" headerRowDxfId="0" dataDxfId="4" headerRowCellStyle="Normal 2"/>
    <tableColumn id="2" xr3:uid="{3A1EB1BC-499D-486D-8CE3-55B01C8B22B6}" name="Column2" headerRowDxfId="1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115</v>
      </c>
    </row>
    <row r="8" spans="1:3" x14ac:dyDescent="0.2">
      <c r="A8" s="2" t="s">
        <v>136</v>
      </c>
    </row>
    <row r="9" spans="1:3" x14ac:dyDescent="0.2">
      <c r="A9" s="34" t="s">
        <v>134</v>
      </c>
      <c r="B9" s="24" t="s">
        <v>132</v>
      </c>
    </row>
    <row r="10" spans="1:3" x14ac:dyDescent="0.2">
      <c r="A10" s="33" t="s">
        <v>135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133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N2" sqref="N2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0.6640625" style="1" bestFit="1" customWidth="1"/>
    <col min="4" max="4" width="11.83203125" style="22" bestFit="1" customWidth="1"/>
    <col min="5" max="5" width="10" style="1" bestFit="1" customWidth="1"/>
    <col min="6" max="6" width="11.1640625" style="22" bestFit="1" customWidth="1"/>
    <col min="7" max="9" width="5.83203125" style="1" bestFit="1" customWidth="1"/>
    <col min="10" max="12" width="7.83203125" style="1" bestFit="1" customWidth="1"/>
    <col min="13" max="15" width="7" style="1" bestFit="1" customWidth="1"/>
    <col min="16" max="18" width="5.83203125" style="1" bestFit="1" customWidth="1"/>
    <col min="19" max="20" width="7.5" style="1" bestFit="1" customWidth="1"/>
    <col min="21" max="23" width="6.1640625" style="1" bestFit="1" customWidth="1"/>
    <col min="24" max="24" width="12.1640625" style="46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SUM(H10:H29,H31,H33:H40)</f>
        <v>1473.0000000000002</v>
      </c>
    </row>
  </sheetData>
  <conditionalFormatting sqref="A1:A1048576">
    <cfRule type="duplicateValues" dxfId="10" priority="5"/>
  </conditionalFormatting>
  <conditionalFormatting sqref="B1:B1048576">
    <cfRule type="duplicateValues" dxfId="9" priority="4"/>
  </conditionalFormatting>
  <conditionalFormatting sqref="G1:W40">
    <cfRule type="cellIs" dxfId="7" priority="3" operator="between">
      <formula>0</formula>
      <formula>0</formula>
    </cfRule>
  </conditionalFormatting>
  <conditionalFormatting sqref="H1:H1048576">
    <cfRule type="cellIs" dxfId="6" priority="1" operator="greaterThanOrEqual">
      <formula>20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D2ADB22-7004-4C49-A3F4-B489309F8C5E}">
            <xm:f>NOT(ISERROR(SEARCH(-1,G1)))</xm:f>
            <xm:f>-1</xm:f>
            <x14:dxf>
              <fill>
                <patternFill>
                  <bgColor rgb="FFFF0000"/>
                </patternFill>
              </fill>
              <border>
                <vertical/>
                <horizontal/>
              </border>
            </x14:dxf>
          </x14:cfRule>
          <xm:sqref>G1:W40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4" sqref="C14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30" style="1" bestFit="1" customWidth="1"/>
    <col min="4" max="4" width="11" style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139</v>
      </c>
    </row>
    <row r="2" spans="1:5" x14ac:dyDescent="0.25">
      <c r="A2" s="2"/>
      <c r="B2" s="5" t="s">
        <v>123</v>
      </c>
      <c r="C2" s="2"/>
    </row>
    <row r="3" spans="1:5" x14ac:dyDescent="0.25">
      <c r="A3" s="44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44">
        <v>2</v>
      </c>
      <c r="B4" s="2" t="s">
        <v>46</v>
      </c>
      <c r="C4" s="2"/>
      <c r="E4" s="1">
        <v>5</v>
      </c>
    </row>
    <row r="5" spans="1:5" x14ac:dyDescent="0.25">
      <c r="A5" s="44">
        <v>3</v>
      </c>
      <c r="B5" s="2" t="s">
        <v>104</v>
      </c>
      <c r="C5" s="32" t="s">
        <v>140</v>
      </c>
      <c r="E5" s="1">
        <v>10</v>
      </c>
    </row>
    <row r="6" spans="1:5" x14ac:dyDescent="0.25">
      <c r="A6" s="44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G27" sqref="G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127</v>
      </c>
    </row>
    <row r="2" spans="1:7" s="39" customFormat="1" ht="21" x14ac:dyDescent="0.35">
      <c r="B2" s="39" t="s">
        <v>124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125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6" t="s">
        <v>40</v>
      </c>
      <c r="B6" s="10">
        <f>VLOOKUP($A$6,Dataset!$A$1:$X$40,7,0)</f>
        <v>2.7</v>
      </c>
      <c r="C6" s="10">
        <f>VLOOKUP(A6,Dataset!$A$1:$W$40,14,0)</f>
        <v>7.6</v>
      </c>
      <c r="D6" s="10">
        <f>VLOOKUP(A6,Dataset!$A$1:$X$40,18,0)</f>
        <v>4.2</v>
      </c>
      <c r="E6" s="10">
        <f>VLOOKUP(A6,Dataset!$A$1:$X$40,20,0)</f>
        <v>8.9</v>
      </c>
      <c r="F6" s="10">
        <f>VLOOKUP(A6,Dataset!$A$1:$X$40,22,0)</f>
        <v>4.2</v>
      </c>
    </row>
    <row r="7" spans="1:7" ht="15" x14ac:dyDescent="0.25">
      <c r="A7" s="6" t="s">
        <v>4</v>
      </c>
      <c r="B7" s="10">
        <f>VLOOKUP(A7,Dataset!A2:X41,7,0)</f>
        <v>2.7</v>
      </c>
      <c r="C7" s="10">
        <f>VLOOKUP(A7,Dataset!A2:W41,14,0)</f>
        <v>7.6</v>
      </c>
      <c r="D7" s="10">
        <f>VLOOKUP(A7,Dataset!A2:X41,18,0)</f>
        <v>4.2</v>
      </c>
      <c r="E7" s="10">
        <f>VLOOKUP(A7,Dataset!$A$1:$X$40,20,0)</f>
        <v>8.9</v>
      </c>
      <c r="F7" s="10">
        <f>VLOOKUP(A7,Dataset!$A$1:$X$40,22,0)</f>
        <v>4.2</v>
      </c>
    </row>
    <row r="8" spans="1:7" ht="15" x14ac:dyDescent="0.25">
      <c r="A8" s="6" t="s">
        <v>7</v>
      </c>
      <c r="B8" s="10">
        <f>VLOOKUP(A8,Dataset!A3:X42,7,0)</f>
        <v>3.6</v>
      </c>
      <c r="C8" s="10">
        <f>VLOOKUP(A8,Dataset!A3:W42,14,0)</f>
        <v>11.1</v>
      </c>
      <c r="D8" s="10">
        <f>VLOOKUP(A8,Dataset!A3:X42,18,0)</f>
        <v>5.8</v>
      </c>
      <c r="E8" s="10">
        <f>VLOOKUP(A8,Dataset!$A$1:$X$40,20,0)</f>
        <v>12.2</v>
      </c>
      <c r="F8" s="10">
        <f>VLOOKUP(A8,Dataset!$A$1:$X$40,22,0)</f>
        <v>5.8</v>
      </c>
    </row>
    <row r="9" spans="1:7" ht="15" x14ac:dyDescent="0.25">
      <c r="A9" s="6" t="s">
        <v>8</v>
      </c>
      <c r="B9" s="10">
        <f>VLOOKUP(A9,Dataset!A4:X43,7,0)</f>
        <v>4.9000000000000004</v>
      </c>
      <c r="C9" s="10">
        <f>VLOOKUP(A9,Dataset!A4:W43,14,0)</f>
        <v>13.3</v>
      </c>
      <c r="D9" s="10">
        <f>VLOOKUP(A9,Dataset!A4:X43,18,0)</f>
        <v>8.1</v>
      </c>
      <c r="E9" s="10">
        <f>VLOOKUP(A9,Dataset!$A$1:$X$40,20,0)</f>
        <v>17</v>
      </c>
      <c r="F9" s="10">
        <f>VLOOKUP(A9,Dataset!$A$1:$X$40,22,0)</f>
        <v>8.1</v>
      </c>
    </row>
    <row r="10" spans="1:7" ht="15" x14ac:dyDescent="0.25">
      <c r="A10" s="6" t="s">
        <v>11</v>
      </c>
      <c r="B10" s="10">
        <f>VLOOKUP(A10,Dataset!A5:X44,7,0)</f>
        <v>9.4</v>
      </c>
      <c r="C10" s="10">
        <f>VLOOKUP(A10,Dataset!A5:W44,14,0)</f>
        <v>28.3</v>
      </c>
      <c r="D10" s="10">
        <f>VLOOKUP(A10,Dataset!A5:X44,18,0)</f>
        <v>16.100000000000001</v>
      </c>
      <c r="E10" s="10">
        <f>VLOOKUP(A10,Dataset!$A$1:$X$40,20,0)</f>
        <v>32.799999999999997</v>
      </c>
      <c r="F10" s="10">
        <f>VLOOKUP(A10,Dataset!$A$1:$X$40,22,0)</f>
        <v>16.100000000000001</v>
      </c>
    </row>
    <row r="11" spans="1:7" ht="15" x14ac:dyDescent="0.25">
      <c r="A11" s="6" t="s">
        <v>12</v>
      </c>
      <c r="B11" s="10">
        <f>VLOOKUP(A11,Dataset!A6:X45,7,0)</f>
        <v>11.6</v>
      </c>
      <c r="C11" s="10">
        <f>VLOOKUP(A11,Dataset!A6:W45,14,0)</f>
        <v>35.200000000000003</v>
      </c>
      <c r="D11" s="10">
        <f>VLOOKUP(A11,Dataset!A6:X45,18,0)</f>
        <v>21.3</v>
      </c>
      <c r="E11" s="10">
        <f>VLOOKUP(A11,Dataset!$A$1:$X$40,20,0)</f>
        <v>43</v>
      </c>
      <c r="F11" s="10">
        <f>VLOOKUP(A11,Dataset!$A$1:$X$40,22,0)</f>
        <v>21.3</v>
      </c>
    </row>
    <row r="12" spans="1:7" ht="15" x14ac:dyDescent="0.25">
      <c r="A12" s="6" t="s">
        <v>14</v>
      </c>
      <c r="B12" s="10">
        <f>VLOOKUP(A12,Dataset!A7:X46,7,0)</f>
        <v>18.399999999999999</v>
      </c>
      <c r="C12" s="10">
        <f>VLOOKUP(A12,Dataset!A7:W46,14,0)</f>
        <v>55.6</v>
      </c>
      <c r="D12" s="10">
        <f>VLOOKUP(A12,Dataset!A7:X46,18,0)</f>
        <v>33.799999999999997</v>
      </c>
      <c r="E12" s="10">
        <f>VLOOKUP(A12,Dataset!$A$1:$X$40,20,0)</f>
        <v>67.900000000000006</v>
      </c>
      <c r="F12" s="10">
        <f>VLOOKUP(A12,Dataset!$A$1:$X$40,22,0)</f>
        <v>33.799999999999997</v>
      </c>
    </row>
    <row r="13" spans="1:7" ht="15" x14ac:dyDescent="0.25">
      <c r="A13" s="6" t="s">
        <v>15</v>
      </c>
      <c r="B13" s="10">
        <f>VLOOKUP(A13,Dataset!A8:X47,7,0)</f>
        <v>0</v>
      </c>
      <c r="C13" s="10">
        <f>VLOOKUP(A13,Dataset!A8:W47,14,0)</f>
        <v>0</v>
      </c>
      <c r="D13" s="10">
        <f>VLOOKUP(A13,Dataset!A8:X47,18,0)</f>
        <v>0</v>
      </c>
      <c r="E13" s="10">
        <f>VLOOKUP(A13,Dataset!$A$1:$X$40,20,0)</f>
        <v>0</v>
      </c>
      <c r="F13" s="10">
        <f>VLOOKUP(A13,Dataset!$A$1:$X$40,22,0)</f>
        <v>0</v>
      </c>
    </row>
    <row r="14" spans="1:7" ht="15" x14ac:dyDescent="0.25">
      <c r="A14" s="6" t="s">
        <v>16</v>
      </c>
      <c r="B14" s="10">
        <f>VLOOKUP(A14,Dataset!A9:X48,7,0)</f>
        <v>21.9</v>
      </c>
      <c r="C14" s="10">
        <f>VLOOKUP(A14,Dataset!A9:W48,14,0)</f>
        <v>61.5</v>
      </c>
      <c r="D14" s="10">
        <f>VLOOKUP(A14,Dataset!A9:X48,18,0)</f>
        <v>40.1</v>
      </c>
      <c r="E14" s="10">
        <f>VLOOKUP(A14,Dataset!$A$1:$X$40,20,0)</f>
        <v>76.599999999999994</v>
      </c>
      <c r="F14" s="10">
        <f>VLOOKUP(A14,Dataset!$A$1:$X$40,22,0)</f>
        <v>40.1</v>
      </c>
    </row>
    <row r="15" spans="1:7" ht="15" x14ac:dyDescent="0.25">
      <c r="A15" s="6" t="s">
        <v>18</v>
      </c>
      <c r="B15" s="10">
        <f>VLOOKUP(A15,Dataset!A10:X49,7,0)</f>
        <v>26.8</v>
      </c>
      <c r="C15" s="10">
        <f>VLOOKUP(A15,Dataset!A10:W49,14,0)</f>
        <v>79.599999999999994</v>
      </c>
      <c r="D15" s="10">
        <f>VLOOKUP(A15,Dataset!A10:X49,18,0)</f>
        <v>47.9</v>
      </c>
      <c r="E15" s="10">
        <f>VLOOKUP(A15,Dataset!$A$1:$X$40,20,0)</f>
        <v>96.8</v>
      </c>
      <c r="F15" s="10">
        <f>VLOOKUP(A15,Dataset!$A$1:$X$40,22,0)</f>
        <v>47.9</v>
      </c>
    </row>
    <row r="16" spans="1:7" ht="15" x14ac:dyDescent="0.25">
      <c r="A16" s="6" t="s">
        <v>20</v>
      </c>
      <c r="B16" s="10">
        <f>VLOOKUP(A16,Dataset!A11:X50,7,0)</f>
        <v>28.5</v>
      </c>
      <c r="C16" s="10">
        <f>VLOOKUP(A16,Dataset!A11:W50,14,0)</f>
        <v>85.4</v>
      </c>
      <c r="D16" s="10">
        <f>VLOOKUP(A16,Dataset!A11:X50,18,0)</f>
        <v>52.3</v>
      </c>
      <c r="E16" s="10">
        <f>VLOOKUP(A16,Dataset!$A$1:$X$40,20,0)</f>
        <v>106.1</v>
      </c>
      <c r="F16" s="10">
        <f>VLOOKUP(A16,Dataset!$A$1:$X$40,22,0)</f>
        <v>52.3</v>
      </c>
    </row>
    <row r="17" spans="1:6" ht="15" x14ac:dyDescent="0.25">
      <c r="A17" s="6" t="s">
        <v>22</v>
      </c>
      <c r="B17" s="10">
        <f>VLOOKUP(A17,Dataset!A12:X51,7,0)</f>
        <v>30.7</v>
      </c>
      <c r="C17" s="10">
        <f>VLOOKUP(A17,Dataset!A12:W51,14,0)</f>
        <v>92.1</v>
      </c>
      <c r="D17" s="10">
        <f>VLOOKUP(A17,Dataset!A12:X51,18,0)</f>
        <v>57</v>
      </c>
      <c r="E17" s="10">
        <f>VLOOKUP(A17,Dataset!$A$1:$X$40,20,0)</f>
        <v>115.1</v>
      </c>
      <c r="F17" s="10">
        <f>VLOOKUP(A17,Dataset!$A$1:$X$40,22,0)</f>
        <v>57</v>
      </c>
    </row>
    <row r="18" spans="1:6" ht="15" x14ac:dyDescent="0.25">
      <c r="A18" s="6" t="s">
        <v>23</v>
      </c>
      <c r="B18" s="10">
        <f>VLOOKUP(A18,Dataset!A13:X52,7,0)</f>
        <v>33.799999999999997</v>
      </c>
      <c r="C18" s="10">
        <f>VLOOKUP(A18,Dataset!A13:W52,14,0)</f>
        <v>101.3</v>
      </c>
      <c r="D18" s="10">
        <f>VLOOKUP(A18,Dataset!A13:X52,18,0)</f>
        <v>61.4</v>
      </c>
      <c r="E18" s="10">
        <f>VLOOKUP(A18,Dataset!$A$1:$X$40,20,0)</f>
        <v>124.4</v>
      </c>
      <c r="F18" s="10">
        <f>VLOOKUP(A18,Dataset!$A$1:$X$40,22,0)</f>
        <v>61.4</v>
      </c>
    </row>
    <row r="19" spans="1:6" ht="15" x14ac:dyDescent="0.25">
      <c r="A19" s="6" t="s">
        <v>24</v>
      </c>
      <c r="B19" s="10">
        <f>VLOOKUP(A19,Dataset!A14:X53,7,0)</f>
        <v>34.700000000000003</v>
      </c>
      <c r="C19" s="10">
        <f>VLOOKUP(A19,Dataset!A14:W53,14,0)</f>
        <v>106.1</v>
      </c>
      <c r="D19" s="10">
        <f>VLOOKUP(A19,Dataset!A14:X53,18,0)</f>
        <v>63.6</v>
      </c>
      <c r="E19" s="10">
        <f>VLOOKUP(A19,Dataset!$A$1:$X$40,20,0)</f>
        <v>128.6</v>
      </c>
      <c r="F19" s="10">
        <f>VLOOKUP(A19,Dataset!$A$1:$X$40,22,0)</f>
        <v>63.6</v>
      </c>
    </row>
    <row r="20" spans="1:6" ht="15" x14ac:dyDescent="0.25">
      <c r="A20" s="6" t="s">
        <v>28</v>
      </c>
      <c r="B20" s="10">
        <f>VLOOKUP(A20,Dataset!A15:X54,7,0)</f>
        <v>0</v>
      </c>
      <c r="C20" s="10">
        <f>VLOOKUP(A20,Dataset!A15:W54,14,0)</f>
        <v>0</v>
      </c>
      <c r="D20" s="10">
        <f>VLOOKUP(A20,Dataset!A15:X54,18,0)</f>
        <v>0</v>
      </c>
      <c r="E20" s="10">
        <f>VLOOKUP(A20,Dataset!$A$1:$X$40,20,0)</f>
        <v>0</v>
      </c>
      <c r="F20" s="10">
        <f>VLOOKUP(A20,Dataset!$A$1:$X$40,22,0)</f>
        <v>0</v>
      </c>
    </row>
    <row r="21" spans="1:6" ht="15" x14ac:dyDescent="0.25">
      <c r="A21" s="6" t="s">
        <v>57</v>
      </c>
      <c r="B21" s="10">
        <f>VLOOKUP(A21,Dataset!A16:X55,7,0)</f>
        <v>41.3</v>
      </c>
      <c r="C21" s="10">
        <f>VLOOKUP(A21,Dataset!A16:W55,14,0)</f>
        <v>124.4</v>
      </c>
      <c r="D21" s="10">
        <f>VLOOKUP(A21,Dataset!A16:X55,18,0)</f>
        <v>75</v>
      </c>
      <c r="E21" s="10">
        <f>VLOOKUP(A21,Dataset!$A$1:$X$40,20,0)</f>
        <v>151.5</v>
      </c>
      <c r="F21" s="10">
        <f>VLOOKUP(A21,Dataset!$A$1:$X$40,22,0)</f>
        <v>75</v>
      </c>
    </row>
    <row r="22" spans="1:6" ht="15" x14ac:dyDescent="0.25">
      <c r="A22" s="6" t="s">
        <v>58</v>
      </c>
      <c r="B22" s="10">
        <f>VLOOKUP(A22,Dataset!A17:X56,7,0)</f>
        <v>-1</v>
      </c>
      <c r="C22" s="10">
        <f>VLOOKUP(A22,Dataset!A17:W56,14,0)</f>
        <v>-1</v>
      </c>
      <c r="D22" s="10">
        <f>VLOOKUP(A22,Dataset!A17:X56,18,0)</f>
        <v>-1</v>
      </c>
      <c r="E22" s="10">
        <f>VLOOKUP(A22,Dataset!$A$1:$X$40,20,0)</f>
        <v>-1</v>
      </c>
      <c r="F22" s="10">
        <f>VLOOKUP(A22,Dataset!$A$1:$X$40,22,0)</f>
        <v>-1</v>
      </c>
    </row>
    <row r="23" spans="1:6" ht="15" x14ac:dyDescent="0.25">
      <c r="A23" s="6" t="s">
        <v>31</v>
      </c>
      <c r="B23" s="10">
        <f>VLOOKUP(A23,Dataset!A18:X57,7,0)</f>
        <v>45</v>
      </c>
      <c r="C23" s="10">
        <f>VLOOKUP(A23,Dataset!A18:W57,14,0)</f>
        <v>133.4</v>
      </c>
      <c r="D23" s="10">
        <f>VLOOKUP(A23,Dataset!A18:X57,18,0)</f>
        <v>79.400000000000006</v>
      </c>
      <c r="E23" s="10">
        <f>VLOOKUP(A23,Dataset!$A$1:$X$40,20,0)</f>
        <v>160.9</v>
      </c>
      <c r="F23" s="10">
        <f>VLOOKUP(A23,Dataset!$A$1:$X$40,22,0)</f>
        <v>79.400000000000006</v>
      </c>
    </row>
    <row r="24" spans="1:6" ht="15" x14ac:dyDescent="0.25">
      <c r="A24" s="6" t="s">
        <v>32</v>
      </c>
      <c r="B24" s="10">
        <f>VLOOKUP(A24,Dataset!A19:X58,7,0)</f>
        <v>-1</v>
      </c>
      <c r="C24" s="10">
        <f>VLOOKUP(A24,Dataset!A19:W58,14,0)</f>
        <v>-1</v>
      </c>
      <c r="D24" s="10">
        <f>VLOOKUP(A24,Dataset!A19:X58,18,0)</f>
        <v>-1</v>
      </c>
      <c r="E24" s="10">
        <f>VLOOKUP(A24,Dataset!$A$1:$X$40,20,0)</f>
        <v>-1</v>
      </c>
      <c r="F24" s="10">
        <f>VLOOKUP(A24,Dataset!$A$1:$X$40,22,0)</f>
        <v>-1</v>
      </c>
    </row>
    <row r="25" spans="1:6" ht="15" x14ac:dyDescent="0.25">
      <c r="A25" s="6" t="s">
        <v>34</v>
      </c>
      <c r="B25" s="10">
        <f>VLOOKUP(A25,Dataset!A20:X59,7,0)</f>
        <v>43.3</v>
      </c>
      <c r="C25" s="10">
        <f>VLOOKUP(A25,Dataset!A20:W59,14,0)</f>
        <v>128.6</v>
      </c>
      <c r="D25" s="10">
        <f>VLOOKUP(A25,Dataset!A20:X59,18,0)</f>
        <v>79.400000000000006</v>
      </c>
      <c r="E25" s="10">
        <f>VLOOKUP(A25,Dataset!$A$1:$X$40,20,0)</f>
        <v>160.9</v>
      </c>
      <c r="F25" s="10">
        <f>VLOOKUP(A25,Dataset!$A$1:$X$40,22,0)</f>
        <v>79.400000000000006</v>
      </c>
    </row>
    <row r="26" spans="1:6" ht="15" x14ac:dyDescent="0.25">
      <c r="A26" s="6" t="s">
        <v>37</v>
      </c>
      <c r="B26" s="10">
        <f>VLOOKUP(A26,Dataset!A21:X60,7,0)</f>
        <v>49.1</v>
      </c>
      <c r="C26" s="10">
        <f>VLOOKUP(A26,Dataset!A21:W60,14,0)</f>
        <v>146.80000000000001</v>
      </c>
      <c r="D26" s="10">
        <f>VLOOKUP(A26,Dataset!A21:X60,18,0)</f>
        <v>90.9</v>
      </c>
      <c r="E26" s="10">
        <f>VLOOKUP(A26,Dataset!$A$1:$X$40,20,0)</f>
        <v>183.5</v>
      </c>
      <c r="F26" s="10">
        <f>VLOOKUP(A26,Dataset!$A$1:$X$40,22,0)</f>
        <v>90.9</v>
      </c>
    </row>
    <row r="27" spans="1:6" ht="15" x14ac:dyDescent="0.25">
      <c r="A27" s="6" t="s">
        <v>39</v>
      </c>
      <c r="B27" s="10">
        <f>VLOOKUP(A27,Dataset!A22:X61,7,0)</f>
        <v>51.8</v>
      </c>
      <c r="C27" s="10">
        <f>VLOOKUP(A27,Dataset!A22:W61,14,0)</f>
        <v>156.4</v>
      </c>
      <c r="D27" s="10">
        <f>VLOOKUP(A27,Dataset!A22:X61,18,0)</f>
        <v>93.1</v>
      </c>
      <c r="E27" s="10">
        <f>VLOOKUP(A27,Dataset!$A$1:$X$40,20,0)</f>
        <v>188.1</v>
      </c>
      <c r="F27" s="10">
        <f>VLOOKUP(A27,Dataset!$A$1:$X$40,22,0)</f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Q54"/>
  <sheetViews>
    <sheetView zoomScaleNormal="100" workbookViewId="0">
      <selection activeCell="I10" sqref="I10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7" s="39" customFormat="1" ht="21" x14ac:dyDescent="0.35">
      <c r="A1" s="40" t="s">
        <v>56</v>
      </c>
      <c r="B1" s="39" t="s">
        <v>137</v>
      </c>
    </row>
    <row r="2" spans="1:17" customFormat="1" ht="12.75" x14ac:dyDescent="0.2"/>
    <row r="3" spans="1:17" s="2" customFormat="1" x14ac:dyDescent="0.25">
      <c r="B3" s="1"/>
    </row>
    <row r="4" spans="1:17" s="2" customFormat="1" x14ac:dyDescent="0.25">
      <c r="B4" s="1" t="s">
        <v>114</v>
      </c>
    </row>
    <row r="5" spans="1:17" ht="18.75" x14ac:dyDescent="0.3">
      <c r="A5" s="41" t="s">
        <v>53</v>
      </c>
      <c r="B5" s="47" t="s">
        <v>178</v>
      </c>
      <c r="C5" s="47"/>
      <c r="D5" s="47"/>
      <c r="E5" s="47"/>
      <c r="F5" s="47"/>
      <c r="G5" s="47"/>
      <c r="H5" s="47"/>
    </row>
    <row r="6" spans="1:17" ht="18.75" customHeight="1" x14ac:dyDescent="0.3">
      <c r="A6" s="41" t="s">
        <v>116</v>
      </c>
      <c r="B6" s="50" t="s">
        <v>179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</row>
    <row r="7" spans="1:17" ht="18.75" x14ac:dyDescent="0.3">
      <c r="A7" s="41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</row>
    <row r="8" spans="1:17" ht="15" customHeight="1" x14ac:dyDescent="0.25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</row>
    <row r="9" spans="1:17" ht="23.25" x14ac:dyDescent="0.35">
      <c r="A9" s="16" t="s">
        <v>128</v>
      </c>
      <c r="I9" s="2"/>
      <c r="J9" s="2"/>
    </row>
    <row r="10" spans="1:17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7" x14ac:dyDescent="0.25">
      <c r="A11" s="7" t="s">
        <v>112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7" ht="23.25" x14ac:dyDescent="0.35">
      <c r="A14" s="16" t="s">
        <v>125</v>
      </c>
    </row>
    <row r="15" spans="1:17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7" x14ac:dyDescent="0.25">
      <c r="A16" s="6" t="s">
        <v>112</v>
      </c>
      <c r="B16" s="10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6" x14ac:dyDescent="0.25">
      <c r="A17" s="6" t="s">
        <v>113</v>
      </c>
      <c r="B17" s="10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6" x14ac:dyDescent="0.25">
      <c r="A18" s="6" t="s">
        <v>141</v>
      </c>
      <c r="B18" s="10">
        <v>20002</v>
      </c>
      <c r="C18" s="1" t="s">
        <v>5</v>
      </c>
      <c r="D18" s="10">
        <v>0</v>
      </c>
      <c r="E18" s="1" t="s">
        <v>6</v>
      </c>
      <c r="F18" s="10">
        <v>25</v>
      </c>
    </row>
    <row r="19" spans="1:6" x14ac:dyDescent="0.25">
      <c r="A19" s="6" t="s">
        <v>142</v>
      </c>
      <c r="B19" s="10">
        <v>20002</v>
      </c>
      <c r="C19" s="1" t="s">
        <v>5</v>
      </c>
      <c r="D19" s="10">
        <v>0</v>
      </c>
      <c r="E19" s="1" t="s">
        <v>6</v>
      </c>
      <c r="F19" s="10">
        <v>26</v>
      </c>
    </row>
    <row r="20" spans="1:6" x14ac:dyDescent="0.25">
      <c r="A20" s="6" t="s">
        <v>143</v>
      </c>
      <c r="B20" s="10">
        <v>20002</v>
      </c>
      <c r="C20" s="1" t="s">
        <v>5</v>
      </c>
      <c r="D20" s="10">
        <v>0</v>
      </c>
      <c r="E20" s="1" t="s">
        <v>6</v>
      </c>
      <c r="F20" s="10">
        <v>27</v>
      </c>
    </row>
    <row r="21" spans="1:6" x14ac:dyDescent="0.25">
      <c r="A21" s="6" t="s">
        <v>144</v>
      </c>
      <c r="B21" s="10">
        <v>20002</v>
      </c>
      <c r="C21" s="1" t="s">
        <v>5</v>
      </c>
      <c r="D21" s="10">
        <v>0</v>
      </c>
      <c r="E21" s="1" t="s">
        <v>6</v>
      </c>
      <c r="F21" s="10">
        <v>28</v>
      </c>
    </row>
    <row r="22" spans="1:6" x14ac:dyDescent="0.25">
      <c r="A22" s="6" t="s">
        <v>145</v>
      </c>
      <c r="B22" s="10">
        <v>20002</v>
      </c>
      <c r="C22" s="1" t="s">
        <v>5</v>
      </c>
      <c r="D22" s="10">
        <v>0</v>
      </c>
      <c r="E22" s="1" t="s">
        <v>6</v>
      </c>
      <c r="F22" s="10">
        <v>29</v>
      </c>
    </row>
    <row r="23" spans="1:6" x14ac:dyDescent="0.25">
      <c r="A23" s="6" t="s">
        <v>146</v>
      </c>
      <c r="B23" s="10">
        <v>20002</v>
      </c>
      <c r="C23" s="1" t="s">
        <v>5</v>
      </c>
      <c r="D23" s="10">
        <v>0</v>
      </c>
      <c r="E23" s="1" t="s">
        <v>6</v>
      </c>
      <c r="F23" s="10">
        <v>30</v>
      </c>
    </row>
    <row r="24" spans="1:6" x14ac:dyDescent="0.25">
      <c r="A24" s="6" t="s">
        <v>147</v>
      </c>
      <c r="B24" s="10">
        <v>20002</v>
      </c>
      <c r="C24" s="1" t="s">
        <v>5</v>
      </c>
      <c r="D24" s="10">
        <v>0</v>
      </c>
      <c r="E24" s="1" t="s">
        <v>6</v>
      </c>
      <c r="F24" s="10">
        <v>31</v>
      </c>
    </row>
    <row r="25" spans="1:6" x14ac:dyDescent="0.25">
      <c r="A25" s="6" t="s">
        <v>148</v>
      </c>
      <c r="B25" s="10">
        <v>20002</v>
      </c>
      <c r="C25" s="1" t="s">
        <v>5</v>
      </c>
      <c r="D25" s="10">
        <v>0</v>
      </c>
      <c r="E25" s="1" t="s">
        <v>6</v>
      </c>
      <c r="F25" s="10">
        <v>32</v>
      </c>
    </row>
    <row r="26" spans="1:6" x14ac:dyDescent="0.25">
      <c r="A26" s="6" t="s">
        <v>149</v>
      </c>
      <c r="B26" s="10">
        <v>20002</v>
      </c>
      <c r="C26" s="1" t="s">
        <v>5</v>
      </c>
      <c r="D26" s="10">
        <v>0</v>
      </c>
      <c r="E26" s="1" t="s">
        <v>6</v>
      </c>
      <c r="F26" s="10">
        <v>33</v>
      </c>
    </row>
    <row r="27" spans="1:6" x14ac:dyDescent="0.25">
      <c r="A27" s="6" t="s">
        <v>150</v>
      </c>
      <c r="B27" s="10">
        <v>20002</v>
      </c>
      <c r="C27" s="1" t="s">
        <v>5</v>
      </c>
      <c r="D27" s="10">
        <v>0</v>
      </c>
      <c r="E27" s="1" t="s">
        <v>6</v>
      </c>
      <c r="F27" s="10">
        <v>34</v>
      </c>
    </row>
    <row r="28" spans="1:6" x14ac:dyDescent="0.25">
      <c r="A28" s="6" t="s">
        <v>151</v>
      </c>
      <c r="B28" s="10">
        <v>20002</v>
      </c>
      <c r="C28" s="1" t="s">
        <v>5</v>
      </c>
      <c r="D28" s="10">
        <v>0</v>
      </c>
      <c r="E28" s="1" t="s">
        <v>6</v>
      </c>
      <c r="F28" s="10">
        <v>35</v>
      </c>
    </row>
    <row r="29" spans="1:6" x14ac:dyDescent="0.25">
      <c r="A29" s="6" t="s">
        <v>152</v>
      </c>
      <c r="B29" s="10">
        <v>20002</v>
      </c>
      <c r="C29" s="1" t="s">
        <v>5</v>
      </c>
      <c r="D29" s="10">
        <v>0</v>
      </c>
      <c r="E29" s="1" t="s">
        <v>6</v>
      </c>
      <c r="F29" s="10">
        <v>36</v>
      </c>
    </row>
    <row r="30" spans="1:6" x14ac:dyDescent="0.25">
      <c r="A30" s="6" t="s">
        <v>153</v>
      </c>
      <c r="B30" s="10">
        <v>20002</v>
      </c>
      <c r="C30" s="1" t="s">
        <v>5</v>
      </c>
      <c r="D30" s="10">
        <v>0</v>
      </c>
      <c r="E30" s="1" t="s">
        <v>6</v>
      </c>
      <c r="F30" s="10">
        <v>37</v>
      </c>
    </row>
    <row r="31" spans="1:6" x14ac:dyDescent="0.25">
      <c r="A31" s="6" t="s">
        <v>154</v>
      </c>
      <c r="B31" s="10">
        <v>20002</v>
      </c>
      <c r="C31" s="1" t="s">
        <v>5</v>
      </c>
      <c r="D31" s="10">
        <v>0</v>
      </c>
      <c r="E31" s="1" t="s">
        <v>6</v>
      </c>
      <c r="F31" s="10">
        <v>38</v>
      </c>
    </row>
    <row r="32" spans="1:6" x14ac:dyDescent="0.25">
      <c r="A32" s="6" t="s">
        <v>155</v>
      </c>
      <c r="B32" s="10">
        <v>20002</v>
      </c>
      <c r="C32" s="1" t="s">
        <v>5</v>
      </c>
      <c r="D32" s="10">
        <v>0</v>
      </c>
      <c r="E32" s="1" t="s">
        <v>6</v>
      </c>
      <c r="F32" s="10">
        <v>39</v>
      </c>
    </row>
    <row r="33" spans="1:6" x14ac:dyDescent="0.25">
      <c r="A33" s="6" t="s">
        <v>156</v>
      </c>
      <c r="B33" s="10">
        <v>20002</v>
      </c>
      <c r="C33" s="1" t="s">
        <v>5</v>
      </c>
      <c r="D33" s="10">
        <v>0</v>
      </c>
      <c r="E33" s="1" t="s">
        <v>6</v>
      </c>
      <c r="F33" s="10">
        <v>40</v>
      </c>
    </row>
    <row r="34" spans="1:6" x14ac:dyDescent="0.25">
      <c r="A34" s="6" t="s">
        <v>157</v>
      </c>
      <c r="B34" s="10">
        <v>20002</v>
      </c>
      <c r="C34" s="1" t="s">
        <v>5</v>
      </c>
      <c r="D34" s="10">
        <v>0</v>
      </c>
      <c r="E34" s="1" t="s">
        <v>6</v>
      </c>
      <c r="F34" s="10">
        <v>41</v>
      </c>
    </row>
    <row r="35" spans="1:6" x14ac:dyDescent="0.25">
      <c r="A35" s="6" t="s">
        <v>158</v>
      </c>
      <c r="B35" s="10">
        <v>20002</v>
      </c>
      <c r="C35" s="1" t="s">
        <v>5</v>
      </c>
      <c r="D35" s="10">
        <v>0</v>
      </c>
      <c r="E35" s="1" t="s">
        <v>6</v>
      </c>
      <c r="F35" s="10">
        <v>42</v>
      </c>
    </row>
    <row r="36" spans="1:6" x14ac:dyDescent="0.25">
      <c r="A36" s="6" t="s">
        <v>159</v>
      </c>
      <c r="B36" s="10">
        <v>20002</v>
      </c>
      <c r="C36" s="1" t="s">
        <v>5</v>
      </c>
      <c r="D36" s="10">
        <v>0</v>
      </c>
      <c r="E36" s="1" t="s">
        <v>6</v>
      </c>
      <c r="F36" s="10">
        <v>43</v>
      </c>
    </row>
    <row r="37" spans="1:6" x14ac:dyDescent="0.25">
      <c r="A37" s="6" t="s">
        <v>160</v>
      </c>
      <c r="B37" s="10">
        <v>20002</v>
      </c>
      <c r="C37" s="1" t="s">
        <v>5</v>
      </c>
      <c r="D37" s="10">
        <v>0</v>
      </c>
      <c r="E37" s="1" t="s">
        <v>6</v>
      </c>
      <c r="F37" s="10">
        <v>44</v>
      </c>
    </row>
    <row r="38" spans="1:6" x14ac:dyDescent="0.25">
      <c r="A38" s="6" t="s">
        <v>161</v>
      </c>
      <c r="B38" s="10">
        <v>20002</v>
      </c>
      <c r="C38" s="1" t="s">
        <v>5</v>
      </c>
      <c r="D38" s="10">
        <v>0</v>
      </c>
      <c r="E38" s="1" t="s">
        <v>6</v>
      </c>
      <c r="F38" s="10">
        <v>45</v>
      </c>
    </row>
    <row r="39" spans="1:6" x14ac:dyDescent="0.25">
      <c r="A39" s="6" t="s">
        <v>162</v>
      </c>
      <c r="B39" s="10">
        <v>20002</v>
      </c>
      <c r="C39" s="1" t="s">
        <v>5</v>
      </c>
      <c r="D39" s="10">
        <v>0</v>
      </c>
      <c r="E39" s="1" t="s">
        <v>6</v>
      </c>
      <c r="F39" s="10">
        <v>46</v>
      </c>
    </row>
    <row r="40" spans="1:6" x14ac:dyDescent="0.25">
      <c r="A40" s="6" t="s">
        <v>163</v>
      </c>
      <c r="B40" s="10">
        <v>20002</v>
      </c>
      <c r="C40" s="1" t="s">
        <v>5</v>
      </c>
      <c r="D40" s="10">
        <v>0</v>
      </c>
      <c r="E40" s="1" t="s">
        <v>6</v>
      </c>
      <c r="F40" s="10">
        <v>47</v>
      </c>
    </row>
    <row r="41" spans="1:6" x14ac:dyDescent="0.25">
      <c r="A41" s="6" t="s">
        <v>164</v>
      </c>
      <c r="B41" s="10">
        <v>20002</v>
      </c>
      <c r="C41" s="1" t="s">
        <v>5</v>
      </c>
      <c r="D41" s="10">
        <v>0</v>
      </c>
      <c r="E41" s="1" t="s">
        <v>6</v>
      </c>
      <c r="F41" s="10">
        <v>48</v>
      </c>
    </row>
    <row r="42" spans="1:6" x14ac:dyDescent="0.25">
      <c r="A42" s="6" t="s">
        <v>165</v>
      </c>
      <c r="B42" s="10">
        <v>20002</v>
      </c>
      <c r="C42" s="1" t="s">
        <v>5</v>
      </c>
      <c r="D42" s="10">
        <v>0</v>
      </c>
      <c r="E42" s="1" t="s">
        <v>6</v>
      </c>
      <c r="F42" s="10">
        <v>49</v>
      </c>
    </row>
    <row r="43" spans="1:6" x14ac:dyDescent="0.25">
      <c r="A43" s="6" t="s">
        <v>166</v>
      </c>
      <c r="B43" s="10">
        <v>20002</v>
      </c>
      <c r="C43" s="1" t="s">
        <v>5</v>
      </c>
      <c r="D43" s="10">
        <v>0</v>
      </c>
      <c r="E43" s="1" t="s">
        <v>6</v>
      </c>
      <c r="F43" s="10">
        <v>50</v>
      </c>
    </row>
    <row r="44" spans="1:6" x14ac:dyDescent="0.25">
      <c r="A44" s="6" t="s">
        <v>167</v>
      </c>
      <c r="B44" s="10">
        <v>20002</v>
      </c>
      <c r="C44" s="1" t="s">
        <v>5</v>
      </c>
      <c r="D44" s="10">
        <v>0</v>
      </c>
      <c r="E44" s="1" t="s">
        <v>6</v>
      </c>
      <c r="F44" s="10">
        <v>51</v>
      </c>
    </row>
    <row r="45" spans="1:6" x14ac:dyDescent="0.25">
      <c r="A45" s="6" t="s">
        <v>168</v>
      </c>
      <c r="B45" s="10">
        <v>20002</v>
      </c>
      <c r="C45" s="1" t="s">
        <v>5</v>
      </c>
      <c r="D45" s="10">
        <v>0</v>
      </c>
      <c r="E45" s="1" t="s">
        <v>6</v>
      </c>
      <c r="F45" s="10">
        <v>52</v>
      </c>
    </row>
    <row r="46" spans="1:6" x14ac:dyDescent="0.25">
      <c r="A46" s="6" t="s">
        <v>169</v>
      </c>
      <c r="B46" s="10">
        <v>20002</v>
      </c>
      <c r="C46" s="1" t="s">
        <v>5</v>
      </c>
      <c r="D46" s="10">
        <v>0</v>
      </c>
      <c r="E46" s="1" t="s">
        <v>6</v>
      </c>
      <c r="F46" s="10">
        <v>53</v>
      </c>
    </row>
    <row r="47" spans="1:6" x14ac:dyDescent="0.25">
      <c r="A47" s="6" t="s">
        <v>170</v>
      </c>
      <c r="B47" s="10">
        <v>20002</v>
      </c>
      <c r="C47" s="1" t="s">
        <v>5</v>
      </c>
      <c r="D47" s="10">
        <v>0</v>
      </c>
      <c r="E47" s="1" t="s">
        <v>6</v>
      </c>
      <c r="F47" s="10">
        <v>54</v>
      </c>
    </row>
    <row r="48" spans="1:6" x14ac:dyDescent="0.25">
      <c r="A48" s="6" t="s">
        <v>171</v>
      </c>
      <c r="B48" s="10">
        <v>20002</v>
      </c>
      <c r="C48" s="1" t="s">
        <v>5</v>
      </c>
      <c r="D48" s="10">
        <v>0</v>
      </c>
      <c r="E48" s="1" t="s">
        <v>6</v>
      </c>
      <c r="F48" s="10">
        <v>55</v>
      </c>
    </row>
    <row r="49" spans="1:6" x14ac:dyDescent="0.25">
      <c r="A49" s="6" t="s">
        <v>172</v>
      </c>
      <c r="B49" s="10">
        <v>20002</v>
      </c>
      <c r="C49" s="1" t="s">
        <v>5</v>
      </c>
      <c r="D49" s="10">
        <v>0</v>
      </c>
      <c r="E49" s="1" t="s">
        <v>6</v>
      </c>
      <c r="F49" s="10">
        <v>56</v>
      </c>
    </row>
    <row r="50" spans="1:6" x14ac:dyDescent="0.25">
      <c r="A50" s="6" t="s">
        <v>173</v>
      </c>
      <c r="B50" s="10">
        <v>20002</v>
      </c>
      <c r="C50" s="1" t="s">
        <v>5</v>
      </c>
      <c r="D50" s="10">
        <v>0</v>
      </c>
      <c r="E50" s="1" t="s">
        <v>6</v>
      </c>
      <c r="F50" s="10">
        <v>57</v>
      </c>
    </row>
    <row r="51" spans="1:6" x14ac:dyDescent="0.25">
      <c r="A51" s="6" t="s">
        <v>174</v>
      </c>
      <c r="B51" s="10">
        <v>20002</v>
      </c>
      <c r="C51" s="1" t="s">
        <v>5</v>
      </c>
      <c r="D51" s="10">
        <v>0</v>
      </c>
      <c r="E51" s="1" t="s">
        <v>6</v>
      </c>
      <c r="F51" s="10">
        <v>58</v>
      </c>
    </row>
    <row r="52" spans="1:6" x14ac:dyDescent="0.25">
      <c r="A52" s="6" t="s">
        <v>175</v>
      </c>
      <c r="B52" s="10">
        <v>20002</v>
      </c>
      <c r="C52" s="1" t="s">
        <v>5</v>
      </c>
      <c r="D52" s="10">
        <v>0</v>
      </c>
      <c r="E52" s="1" t="s">
        <v>6</v>
      </c>
      <c r="F52" s="10">
        <v>59</v>
      </c>
    </row>
    <row r="53" spans="1:6" x14ac:dyDescent="0.25">
      <c r="A53" s="6" t="s">
        <v>176</v>
      </c>
      <c r="B53" s="10">
        <v>20002</v>
      </c>
      <c r="C53" s="1" t="s">
        <v>5</v>
      </c>
      <c r="D53" s="10">
        <v>0</v>
      </c>
      <c r="E53" s="1" t="s">
        <v>6</v>
      </c>
      <c r="F53" s="10">
        <v>60</v>
      </c>
    </row>
    <row r="54" spans="1:6" x14ac:dyDescent="0.25">
      <c r="A54" s="6" t="s">
        <v>177</v>
      </c>
      <c r="B54" s="11">
        <v>20002</v>
      </c>
      <c r="C54" s="8" t="s">
        <v>5</v>
      </c>
      <c r="D54" s="11">
        <v>0</v>
      </c>
      <c r="E54" s="8" t="s">
        <v>6</v>
      </c>
      <c r="F54" s="11">
        <v>61</v>
      </c>
    </row>
  </sheetData>
  <mergeCells count="2">
    <mergeCell ref="B5:H5"/>
    <mergeCell ref="B6:Q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AE22"/>
  <sheetViews>
    <sheetView topLeftCell="A2" zoomScaleNormal="100" workbookViewId="0">
      <selection activeCell="J22" sqref="J22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1" ht="21" x14ac:dyDescent="0.35">
      <c r="A1" s="40" t="s">
        <v>85</v>
      </c>
      <c r="B1" s="39" t="s">
        <v>130</v>
      </c>
    </row>
    <row r="2" spans="1:31" ht="18.75" x14ac:dyDescent="0.3">
      <c r="B2" s="38" t="s">
        <v>129</v>
      </c>
    </row>
    <row r="5" spans="1:31" ht="15" x14ac:dyDescent="0.25">
      <c r="B5" s="1" t="s">
        <v>114</v>
      </c>
    </row>
    <row r="6" spans="1:31" ht="18" customHeight="1" x14ac:dyDescent="0.3">
      <c r="A6" s="3" t="s">
        <v>53</v>
      </c>
      <c r="B6" s="52" t="s">
        <v>180</v>
      </c>
      <c r="C6" s="53"/>
      <c r="D6" s="53"/>
      <c r="E6" s="53"/>
      <c r="F6" s="53"/>
      <c r="G6" s="53"/>
      <c r="H6" s="53"/>
      <c r="I6" s="53"/>
      <c r="J6" s="53"/>
      <c r="K6" s="53"/>
      <c r="L6" s="51"/>
      <c r="M6" s="51"/>
    </row>
    <row r="7" spans="1:31" ht="18" customHeight="1" x14ac:dyDescent="0.25">
      <c r="A7" s="3" t="s">
        <v>116</v>
      </c>
      <c r="B7" s="49" t="s">
        <v>181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</row>
    <row r="8" spans="1:31" ht="15" customHeight="1" x14ac:dyDescent="0.25">
      <c r="A8" s="3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</row>
    <row r="9" spans="1:31" ht="12.75" customHeight="1" x14ac:dyDescent="0.2"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</row>
    <row r="10" spans="1:31" ht="23.25" x14ac:dyDescent="0.35">
      <c r="A10" s="16" t="s">
        <v>125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31" ht="15" x14ac:dyDescent="0.25">
      <c r="A11" s="30" t="s">
        <v>86</v>
      </c>
      <c r="B11" s="15" t="s">
        <v>87</v>
      </c>
      <c r="C11" s="15" t="s">
        <v>88</v>
      </c>
    </row>
    <row r="12" spans="1:31" ht="15" x14ac:dyDescent="0.25">
      <c r="A12" s="30">
        <v>44927</v>
      </c>
      <c r="B12" s="15" t="s">
        <v>59</v>
      </c>
      <c r="C12" s="15">
        <v>200</v>
      </c>
    </row>
    <row r="13" spans="1:31" ht="15" x14ac:dyDescent="0.25">
      <c r="A13" s="30">
        <v>44928</v>
      </c>
      <c r="B13" s="15" t="s">
        <v>60</v>
      </c>
      <c r="C13" s="15">
        <v>20</v>
      </c>
    </row>
    <row r="14" spans="1:31" ht="15" x14ac:dyDescent="0.25">
      <c r="A14" s="30">
        <v>44929</v>
      </c>
      <c r="B14" s="15" t="s">
        <v>61</v>
      </c>
      <c r="C14" s="15">
        <v>50</v>
      </c>
    </row>
    <row r="15" spans="1:31" ht="15" x14ac:dyDescent="0.25">
      <c r="A15" s="30">
        <v>44930</v>
      </c>
      <c r="B15" s="15" t="s">
        <v>62</v>
      </c>
      <c r="C15" s="15">
        <v>20</v>
      </c>
    </row>
    <row r="16" spans="1:31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117</v>
      </c>
      <c r="C17" s="15">
        <v>150</v>
      </c>
    </row>
    <row r="18" spans="1:3" ht="15" x14ac:dyDescent="0.25">
      <c r="A18" s="30">
        <v>44933</v>
      </c>
      <c r="B18" s="15" t="s">
        <v>118</v>
      </c>
      <c r="C18" s="15">
        <v>80</v>
      </c>
    </row>
    <row r="19" spans="1:3" ht="15" x14ac:dyDescent="0.25">
      <c r="A19" s="30">
        <v>44934</v>
      </c>
      <c r="B19" s="15" t="s">
        <v>119</v>
      </c>
      <c r="C19" s="15">
        <v>20</v>
      </c>
    </row>
    <row r="20" spans="1:3" ht="15" x14ac:dyDescent="0.25">
      <c r="A20" s="30">
        <v>44935</v>
      </c>
      <c r="B20" s="15" t="s">
        <v>120</v>
      </c>
      <c r="C20" s="15">
        <v>30</v>
      </c>
    </row>
    <row r="21" spans="1:3" ht="15" x14ac:dyDescent="0.25">
      <c r="A21" s="30">
        <v>44936</v>
      </c>
      <c r="B21" s="15" t="s">
        <v>121</v>
      </c>
      <c r="C21" s="15">
        <v>20</v>
      </c>
    </row>
    <row r="22" spans="1:3" ht="15" x14ac:dyDescent="0.25">
      <c r="B22" s="15" t="s">
        <v>122</v>
      </c>
      <c r="C22" s="24">
        <f>SUM(C12:C21)</f>
        <v>600</v>
      </c>
    </row>
  </sheetData>
  <mergeCells count="1">
    <mergeCell ref="B7:R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tabSelected="1"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10" width="11.83203125" style="2" customWidth="1"/>
    <col min="11" max="12" width="11" style="2"/>
    <col min="13" max="13" width="18.6640625" style="2" customWidth="1"/>
    <col min="14" max="14" width="11.83203125" style="2" customWidth="1"/>
    <col min="15" max="16384" width="11" style="2"/>
  </cols>
  <sheetData>
    <row r="1" spans="1:14" ht="21" x14ac:dyDescent="0.35">
      <c r="A1" s="40" t="s">
        <v>98</v>
      </c>
      <c r="B1" s="39" t="s">
        <v>138</v>
      </c>
    </row>
    <row r="3" spans="1:14" ht="15" x14ac:dyDescent="0.25">
      <c r="B3" s="1" t="s">
        <v>114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116</v>
      </c>
      <c r="B5" s="1" t="s">
        <v>182</v>
      </c>
    </row>
    <row r="6" spans="1:14" ht="15" x14ac:dyDescent="0.25">
      <c r="A6" s="3"/>
      <c r="B6" s="1"/>
    </row>
    <row r="8" spans="1:14" x14ac:dyDescent="0.2">
      <c r="A8"/>
      <c r="B8"/>
      <c r="C8"/>
      <c r="D8"/>
      <c r="E8"/>
      <c r="F8"/>
      <c r="G8"/>
      <c r="H8"/>
      <c r="I8"/>
      <c r="J8"/>
      <c r="M8"/>
      <c r="N8"/>
    </row>
    <row r="9" spans="1:14" ht="23.25" x14ac:dyDescent="0.35">
      <c r="A9"/>
      <c r="B9"/>
      <c r="C9"/>
      <c r="D9"/>
      <c r="E9"/>
      <c r="F9"/>
      <c r="G9"/>
      <c r="H9"/>
      <c r="I9"/>
      <c r="J9"/>
      <c r="M9" s="16" t="s">
        <v>126</v>
      </c>
    </row>
    <row r="10" spans="1:14" ht="23.25" x14ac:dyDescent="0.35">
      <c r="A10" s="57" t="s">
        <v>125</v>
      </c>
      <c r="B10" s="24" t="s">
        <v>89</v>
      </c>
      <c r="C10" s="24" t="s">
        <v>90</v>
      </c>
      <c r="D10" s="24" t="s">
        <v>91</v>
      </c>
      <c r="E10" s="24" t="s">
        <v>92</v>
      </c>
      <c r="F10" s="24" t="s">
        <v>93</v>
      </c>
      <c r="G10" s="24" t="s">
        <v>94</v>
      </c>
      <c r="H10" s="24" t="s">
        <v>95</v>
      </c>
      <c r="I10" s="24" t="s">
        <v>96</v>
      </c>
      <c r="J10" s="24" t="s">
        <v>97</v>
      </c>
      <c r="M10" s="17" t="s">
        <v>43</v>
      </c>
      <c r="N10" s="17" t="s">
        <v>99</v>
      </c>
    </row>
    <row r="11" spans="1:14" ht="15" x14ac:dyDescent="0.25">
      <c r="A11" s="24" t="s">
        <v>89</v>
      </c>
      <c r="B11" s="23">
        <v>-1</v>
      </c>
      <c r="C11" s="23">
        <v>95</v>
      </c>
      <c r="D11" s="23">
        <v>-1</v>
      </c>
      <c r="E11" s="23">
        <v>185</v>
      </c>
      <c r="F11" s="23">
        <v>255</v>
      </c>
      <c r="G11" s="23">
        <v>305</v>
      </c>
      <c r="H11" s="23">
        <v>415</v>
      </c>
      <c r="I11" s="23">
        <v>480</v>
      </c>
      <c r="J11" s="23">
        <v>525</v>
      </c>
      <c r="M11" s="10">
        <v>10100</v>
      </c>
      <c r="N11" s="10" t="s">
        <v>89</v>
      </c>
    </row>
    <row r="12" spans="1:14" ht="15" x14ac:dyDescent="0.25">
      <c r="A12" s="24" t="s">
        <v>90</v>
      </c>
      <c r="B12" s="23">
        <v>95</v>
      </c>
      <c r="C12" s="23">
        <v>-1</v>
      </c>
      <c r="D12" s="23">
        <v>-1</v>
      </c>
      <c r="E12" s="23">
        <v>90</v>
      </c>
      <c r="F12" s="23">
        <v>160</v>
      </c>
      <c r="G12" s="23">
        <v>210</v>
      </c>
      <c r="H12" s="23">
        <v>325</v>
      </c>
      <c r="I12" s="23">
        <v>390</v>
      </c>
      <c r="J12" s="23">
        <v>430</v>
      </c>
      <c r="M12" s="10">
        <v>10102</v>
      </c>
      <c r="N12" s="10" t="s">
        <v>90</v>
      </c>
    </row>
    <row r="13" spans="1:14" ht="15" x14ac:dyDescent="0.25">
      <c r="A13" s="24" t="s">
        <v>91</v>
      </c>
      <c r="B13" s="23">
        <v>-1</v>
      </c>
      <c r="C13" s="23">
        <v>-1</v>
      </c>
      <c r="D13" s="23">
        <v>-1</v>
      </c>
      <c r="E13" s="23">
        <v>60</v>
      </c>
      <c r="F13" s="23">
        <v>130</v>
      </c>
      <c r="G13" s="23">
        <v>180</v>
      </c>
      <c r="H13" s="23">
        <v>295</v>
      </c>
      <c r="I13" s="23">
        <v>355</v>
      </c>
      <c r="J13" s="23">
        <v>400</v>
      </c>
      <c r="M13" s="10">
        <v>10104</v>
      </c>
      <c r="N13" s="10" t="s">
        <v>91</v>
      </c>
    </row>
    <row r="14" spans="1:14" ht="15" x14ac:dyDescent="0.25">
      <c r="A14" s="24" t="s">
        <v>92</v>
      </c>
      <c r="B14" s="23">
        <v>185</v>
      </c>
      <c r="C14" s="23">
        <v>90</v>
      </c>
      <c r="D14" s="23">
        <v>60</v>
      </c>
      <c r="E14" s="23">
        <v>-1</v>
      </c>
      <c r="F14" s="23">
        <v>70</v>
      </c>
      <c r="G14" s="23">
        <v>120</v>
      </c>
      <c r="H14" s="23">
        <v>235</v>
      </c>
      <c r="I14" s="23">
        <v>300</v>
      </c>
      <c r="J14" s="23">
        <v>340</v>
      </c>
      <c r="M14" s="10">
        <v>10106</v>
      </c>
      <c r="N14" s="10" t="s">
        <v>92</v>
      </c>
    </row>
    <row r="15" spans="1:14" ht="15" x14ac:dyDescent="0.25">
      <c r="A15" s="24" t="s">
        <v>93</v>
      </c>
      <c r="B15" s="23">
        <v>255</v>
      </c>
      <c r="C15" s="23">
        <v>160</v>
      </c>
      <c r="D15" s="23">
        <v>130</v>
      </c>
      <c r="E15" s="23">
        <v>70</v>
      </c>
      <c r="F15" s="23">
        <v>-1</v>
      </c>
      <c r="G15" s="23">
        <v>50</v>
      </c>
      <c r="H15" s="23">
        <v>165</v>
      </c>
      <c r="I15" s="23">
        <v>230</v>
      </c>
      <c r="J15" s="23">
        <v>270</v>
      </c>
      <c r="M15" s="10">
        <v>10108</v>
      </c>
      <c r="N15" s="10" t="s">
        <v>93</v>
      </c>
    </row>
    <row r="16" spans="1:14" ht="15" x14ac:dyDescent="0.25">
      <c r="A16" s="24" t="s">
        <v>94</v>
      </c>
      <c r="B16" s="23">
        <v>305</v>
      </c>
      <c r="C16" s="23">
        <v>210</v>
      </c>
      <c r="D16" s="23">
        <v>180</v>
      </c>
      <c r="E16" s="23">
        <v>120</v>
      </c>
      <c r="F16" s="23">
        <v>50</v>
      </c>
      <c r="G16" s="23">
        <v>-1</v>
      </c>
      <c r="H16" s="23">
        <v>115</v>
      </c>
      <c r="I16" s="23">
        <v>180</v>
      </c>
      <c r="J16" s="23">
        <v>220</v>
      </c>
      <c r="M16" s="10">
        <v>10110</v>
      </c>
      <c r="N16" s="10" t="s">
        <v>94</v>
      </c>
    </row>
    <row r="17" spans="1:14" ht="15" x14ac:dyDescent="0.25">
      <c r="A17" s="24" t="s">
        <v>95</v>
      </c>
      <c r="B17" s="23">
        <v>415</v>
      </c>
      <c r="C17" s="23">
        <v>325</v>
      </c>
      <c r="D17" s="23">
        <v>295</v>
      </c>
      <c r="E17" s="23">
        <v>235</v>
      </c>
      <c r="F17" s="23">
        <v>165</v>
      </c>
      <c r="G17" s="23">
        <v>115</v>
      </c>
      <c r="H17" s="23">
        <v>-1</v>
      </c>
      <c r="I17" s="23">
        <v>65</v>
      </c>
      <c r="J17" s="23">
        <v>105</v>
      </c>
      <c r="M17" s="10">
        <v>10112</v>
      </c>
      <c r="N17" s="10" t="s">
        <v>95</v>
      </c>
    </row>
    <row r="18" spans="1:14" ht="15" x14ac:dyDescent="0.25">
      <c r="A18" s="24" t="s">
        <v>96</v>
      </c>
      <c r="B18" s="23">
        <v>480</v>
      </c>
      <c r="C18" s="23">
        <v>390</v>
      </c>
      <c r="D18" s="23">
        <v>355</v>
      </c>
      <c r="E18" s="23">
        <v>300</v>
      </c>
      <c r="F18" s="23">
        <v>230</v>
      </c>
      <c r="G18" s="23">
        <v>180</v>
      </c>
      <c r="H18" s="23">
        <v>65</v>
      </c>
      <c r="I18" s="23">
        <v>-1</v>
      </c>
      <c r="J18" s="23">
        <v>40</v>
      </c>
      <c r="M18" s="10">
        <v>10114</v>
      </c>
      <c r="N18" s="10" t="s">
        <v>96</v>
      </c>
    </row>
    <row r="19" spans="1:14" ht="15" x14ac:dyDescent="0.25">
      <c r="A19" s="55" t="s">
        <v>97</v>
      </c>
      <c r="B19" s="56">
        <v>525</v>
      </c>
      <c r="C19" s="56">
        <v>430</v>
      </c>
      <c r="D19" s="56">
        <v>400</v>
      </c>
      <c r="E19" s="56">
        <v>340</v>
      </c>
      <c r="F19" s="56">
        <v>270</v>
      </c>
      <c r="G19" s="56">
        <v>220</v>
      </c>
      <c r="H19" s="56">
        <v>105</v>
      </c>
      <c r="I19" s="56">
        <v>40</v>
      </c>
      <c r="J19" s="56">
        <v>-1</v>
      </c>
      <c r="M19" s="10">
        <v>10116</v>
      </c>
      <c r="N19" s="10" t="s">
        <v>97</v>
      </c>
    </row>
    <row r="22" spans="1:14" ht="23.25" x14ac:dyDescent="0.35">
      <c r="A22" s="16" t="s">
        <v>131</v>
      </c>
    </row>
    <row r="23" spans="1:14" ht="15" x14ac:dyDescent="0.25">
      <c r="A23" s="12" t="s">
        <v>100</v>
      </c>
      <c r="B23" s="15" t="s">
        <v>101</v>
      </c>
      <c r="C23" s="14" t="s">
        <v>102</v>
      </c>
    </row>
    <row r="24" spans="1:14" ht="15" x14ac:dyDescent="0.25">
      <c r="A24" s="6">
        <v>10100</v>
      </c>
      <c r="B24" s="10">
        <v>10102</v>
      </c>
      <c r="C24" s="54" t="e">
        <f>INDEX(Table1[#All], MATCH($L2, M11:M19, 0), MATCH(A24,M11:N19, 0))</f>
        <v>#N/A</v>
      </c>
    </row>
    <row r="25" spans="1:14" ht="15" x14ac:dyDescent="0.25">
      <c r="A25" s="6">
        <v>10100</v>
      </c>
      <c r="B25" s="10">
        <v>10104</v>
      </c>
      <c r="C25" s="54" t="e">
        <f>INDEX(Table1[#All], MATCH($L3, M12:M20, 0), MATCH(A25,M12:N20, 0))</f>
        <v>#N/A</v>
      </c>
    </row>
    <row r="26" spans="1:14" ht="15" x14ac:dyDescent="0.25">
      <c r="A26" s="6">
        <v>10108</v>
      </c>
      <c r="B26" s="10">
        <v>10102</v>
      </c>
      <c r="C26" s="54" t="e">
        <f>INDEX(Table1[#All], MATCH($L4, M13:M21, 0), MATCH(A26,M13:N21, 0))</f>
        <v>#N/A</v>
      </c>
    </row>
    <row r="27" spans="1:14" ht="15" x14ac:dyDescent="0.25">
      <c r="A27" s="6">
        <v>10100</v>
      </c>
      <c r="B27" s="10">
        <v>10106</v>
      </c>
      <c r="C27" s="42"/>
    </row>
    <row r="28" spans="1:14" ht="15" x14ac:dyDescent="0.25">
      <c r="A28" s="6">
        <v>10108</v>
      </c>
      <c r="B28" s="10">
        <v>10110</v>
      </c>
      <c r="C28" s="42"/>
    </row>
    <row r="29" spans="1:14" ht="15" x14ac:dyDescent="0.25">
      <c r="A29" s="6">
        <v>10102</v>
      </c>
      <c r="B29" s="10">
        <v>10104</v>
      </c>
      <c r="C29" s="42"/>
    </row>
    <row r="30" spans="1:14" ht="15" x14ac:dyDescent="0.25">
      <c r="A30" s="6">
        <v>10106</v>
      </c>
      <c r="B30" s="10">
        <v>10108</v>
      </c>
      <c r="C30" s="42"/>
    </row>
    <row r="31" spans="1:14" ht="15" x14ac:dyDescent="0.25">
      <c r="A31" s="6">
        <v>10102</v>
      </c>
      <c r="B31" s="10">
        <v>10106</v>
      </c>
      <c r="C31" s="42"/>
    </row>
    <row r="32" spans="1:14" ht="15" x14ac:dyDescent="0.25">
      <c r="A32" s="6">
        <v>10110</v>
      </c>
      <c r="B32" s="10">
        <v>10114</v>
      </c>
      <c r="C32" s="42"/>
    </row>
    <row r="33" spans="1:3" ht="15" x14ac:dyDescent="0.25">
      <c r="A33" s="6">
        <v>10104</v>
      </c>
      <c r="B33" s="10">
        <v>10106</v>
      </c>
      <c r="C33" s="42"/>
    </row>
    <row r="34" spans="1:3" ht="15" x14ac:dyDescent="0.25">
      <c r="A34" s="6">
        <v>10110</v>
      </c>
      <c r="B34" s="10">
        <v>10112</v>
      </c>
      <c r="C34" s="42"/>
    </row>
    <row r="35" spans="1:3" ht="15" x14ac:dyDescent="0.25">
      <c r="A35" s="6">
        <v>10100</v>
      </c>
      <c r="B35" s="10">
        <v>10114</v>
      </c>
      <c r="C35" s="42"/>
    </row>
    <row r="36" spans="1:3" ht="15" x14ac:dyDescent="0.25">
      <c r="A36" s="7">
        <v>10112</v>
      </c>
      <c r="B36" s="11">
        <v>10116</v>
      </c>
      <c r="C36" s="4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Buru Saboowala</cp:lastModifiedBy>
  <dcterms:created xsi:type="dcterms:W3CDTF">2015-02-10T17:33:11Z</dcterms:created>
  <dcterms:modified xsi:type="dcterms:W3CDTF">2023-12-10T17:15:05Z</dcterms:modified>
</cp:coreProperties>
</file>